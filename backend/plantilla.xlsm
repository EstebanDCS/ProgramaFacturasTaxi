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725" codeName="{1BF75E64-36B4-4512-B9E4-3ED0869CA82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patif\Documents\GitHub\ProgramaFacturasTaxi\backend\"/>
    </mc:Choice>
  </mc:AlternateContent>
  <xr:revisionPtr revIDLastSave="0" documentId="13_ncr:1_{3DABAFE3-F351-4E1E-83CC-F76891BFDAEC}" xr6:coauthVersionLast="47" xr6:coauthVersionMax="47" xr10:uidLastSave="{00000000-0000-0000-0000-000000000000}"/>
  <workbookProtection lockWindows="1"/>
  <bookViews>
    <workbookView xWindow="-108" yWindow="-108" windowWidth="23256" windowHeight="12456" activeTab="2" xr2:uid="{00000000-000D-0000-FFFF-FFFF00000000}"/>
  </bookViews>
  <sheets>
    <sheet name="Control" sheetId="7" r:id="rId1"/>
    <sheet name="Hoja1" sheetId="13" r:id="rId2"/>
    <sheet name="ticket" sheetId="14" r:id="rId3"/>
  </sheets>
  <definedNames>
    <definedName name="_xlnm.Print_Area" localSheetId="2">ticket!$A$1:$F$52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17" i="13" l="1"/>
  <c r="F40" i="13"/>
  <c r="F38" i="13" s="1"/>
  <c r="F39" i="13" s="1"/>
</calcChain>
</file>

<file path=xl/sharedStrings.xml><?xml version="1.0" encoding="utf-8"?>
<sst xmlns="http://schemas.openxmlformats.org/spreadsheetml/2006/main" count="57" uniqueCount="50">
  <si>
    <t>Alvargonzalez SA</t>
  </si>
  <si>
    <t>Cabrales 20 entlo</t>
  </si>
  <si>
    <t>33201 Gijon – Asturias</t>
  </si>
  <si>
    <t>CIF: A33778739</t>
  </si>
  <si>
    <t>Tel: 985-344400</t>
  </si>
  <si>
    <r>
      <t xml:space="preserve">                                         </t>
    </r>
    <r>
      <rPr>
        <sz val="14"/>
        <color theme="1"/>
        <rFont val="Calibri"/>
        <family val="2"/>
        <scheme val="minor"/>
      </rPr>
      <t xml:space="preserve">       DESCRIPCION </t>
    </r>
  </si>
  <si>
    <t xml:space="preserve">CLIENTE </t>
  </si>
  <si>
    <t>BASE IMPONIBLE</t>
  </si>
  <si>
    <t>IVA</t>
  </si>
  <si>
    <t>TOTAL</t>
  </si>
  <si>
    <t>EUR</t>
  </si>
  <si>
    <t>FACTURA NUMERO</t>
  </si>
  <si>
    <t xml:space="preserve">        SERVICIO DE TAXI </t>
  </si>
  <si>
    <t>BARCO:</t>
  </si>
  <si>
    <t xml:space="preserve">Eduardo Antonio Garcia Alvarez </t>
  </si>
  <si>
    <t xml:space="preserve">Camino de El Musel </t>
  </si>
  <si>
    <t xml:space="preserve">33290 Gijon - Asturias </t>
  </si>
  <si>
    <t xml:space="preserve">CIF: 10839422 m  </t>
  </si>
  <si>
    <t xml:space="preserve">Tel: -609077178 </t>
  </si>
  <si>
    <t>TOTAL/GRAND TOTAL:</t>
  </si>
  <si>
    <t>IVA/VAT CHARGE:</t>
  </si>
  <si>
    <t>BASE IMP./NET:</t>
  </si>
  <si>
    <t>COMENTARIOS/ COMMENTS:</t>
  </si>
  <si>
    <t>IDA Y VUELTA/ROUND TRIP</t>
  </si>
  <si>
    <t>NO/NO</t>
  </si>
  <si>
    <t>SI/YES</t>
  </si>
  <si>
    <t>OTHER (specify)_________________</t>
  </si>
  <si>
    <t>INMIGRACION/INMIGRATION</t>
  </si>
  <si>
    <t>CLINICA/CLINIC _________________</t>
  </si>
  <si>
    <t>HOSPITAL/HOSPITAL _____________</t>
  </si>
  <si>
    <t>HOTEL/HOTEL</t>
  </si>
  <si>
    <t>BUQUE/SHIP</t>
  </si>
  <si>
    <t>AEROPUERTO/AIRPORT</t>
  </si>
  <si>
    <t>DESTINO/ DESTINATION:</t>
  </si>
  <si>
    <t>RECOGIDA/COLLECTION POINT:</t>
  </si>
  <si>
    <t>PASAJEROS/PASSENGERS</t>
  </si>
  <si>
    <t>BUQUE/SHIP:</t>
  </si>
  <si>
    <t>FECHA SERVICIO/SERVICE DATE:</t>
  </si>
  <si>
    <t>FECHA SOLICITUD/DATE OF REQUEST:</t>
  </si>
  <si>
    <t>33201 GIJON - ASTURIAS (SPAIN)</t>
  </si>
  <si>
    <t xml:space="preserve">CIF 10839422 M </t>
  </si>
  <si>
    <t>CL. CABRALES 20 ENTLO.</t>
  </si>
  <si>
    <t>TEL/EMAIL  609077178</t>
  </si>
  <si>
    <t>ALVARGONZALEZ S.A.</t>
  </si>
  <si>
    <t>CAMINO DE EL MUSEL 33290 GIJON ASTURIAS</t>
  </si>
  <si>
    <t xml:space="preserve">EDUARDO ANTONIO GARCIA ALVAREZ </t>
  </si>
  <si>
    <t>ticket</t>
  </si>
  <si>
    <t xml:space="preserve">Fecha: </t>
  </si>
  <si>
    <t>SERVICIO TAXI SOLICITADO POR EMAIL/FAX/OTRO (especificar)</t>
  </si>
  <si>
    <t>TAXI SERVICE REQUESTED BY EMAIL/FAX/OTHER (specify)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</si>
</sst>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-mmmm\-yyyy"/>
  </numFmts>
  <fonts count="1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20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Book Antiqua"/>
      <family val="1"/>
    </font>
    <font>
      <u/>
      <sz val="9"/>
      <color theme="1"/>
      <name val="Arial Narrow"/>
      <family val="2"/>
    </font>
    <font>
      <sz val="11"/>
      <color rgb="FFFF0000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65">
    <xf numFmtId="0" fontId="0" fillId="0" borderId="0" xfId="0"/>
    <xf numFmtId="0" fontId="0" fillId="0" borderId="0" xfId="0" applyAlignment="1">
      <alignment horizontal="right"/>
    </xf>
    <xf numFmtId="0" fontId="0" fillId="0" borderId="2" xfId="0" applyBorder="1"/>
    <xf numFmtId="0" fontId="0" fillId="0" borderId="3" xfId="0" applyBorder="1"/>
    <xf numFmtId="0" fontId="0" fillId="0" borderId="5" xfId="0" applyBorder="1"/>
    <xf numFmtId="0" fontId="0" fillId="0" borderId="4" xfId="0" applyBorder="1"/>
    <xf numFmtId="0" fontId="0" fillId="0" borderId="7" xfId="0" applyBorder="1"/>
    <xf numFmtId="0" fontId="0" fillId="0" borderId="6" xfId="0" applyBorder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0" fontId="0" fillId="0" borderId="11" xfId="0" applyBorder="1"/>
    <xf numFmtId="0" fontId="0" fillId="0" borderId="12" xfId="0" applyBorder="1"/>
    <xf numFmtId="9" fontId="0" fillId="0" borderId="14" xfId="0" applyNumberFormat="1" applyBorder="1"/>
    <xf numFmtId="0" fontId="0" fillId="0" borderId="13" xfId="0" applyBorder="1"/>
    <xf numFmtId="2" fontId="0" fillId="0" borderId="1" xfId="0" applyNumberFormat="1" applyBorder="1"/>
    <xf numFmtId="0" fontId="1" fillId="0" borderId="11" xfId="0" applyFont="1" applyBorder="1"/>
    <xf numFmtId="0" fontId="1" fillId="0" borderId="0" xfId="0" applyFont="1"/>
    <xf numFmtId="15" fontId="1" fillId="0" borderId="0" xfId="0" applyNumberFormat="1" applyFont="1"/>
    <xf numFmtId="2" fontId="0" fillId="0" borderId="0" xfId="0" applyNumberFormat="1"/>
    <xf numFmtId="9" fontId="0" fillId="0" borderId="0" xfId="0" applyNumberFormat="1"/>
    <xf numFmtId="49" fontId="4" fillId="0" borderId="1" xfId="0" applyNumberFormat="1" applyFont="1" applyBorder="1" applyAlignment="1">
      <alignment horizontal="left"/>
    </xf>
    <xf numFmtId="0" fontId="6" fillId="0" borderId="0" xfId="0" applyFont="1"/>
    <xf numFmtId="0" fontId="3" fillId="0" borderId="0" xfId="0" applyFont="1"/>
    <xf numFmtId="0" fontId="0" fillId="0" borderId="15" xfId="0" applyBorder="1" applyAlignment="1">
      <alignment horizontal="right"/>
    </xf>
    <xf numFmtId="0" fontId="0" fillId="0" borderId="16" xfId="0" applyBorder="1" applyAlignment="1">
      <alignment horizontal="right"/>
    </xf>
    <xf numFmtId="0" fontId="0" fillId="0" borderId="17" xfId="0" applyBorder="1" applyAlignment="1">
      <alignment horizontal="right"/>
    </xf>
    <xf numFmtId="0" fontId="7" fillId="0" borderId="0" xfId="0" applyFont="1"/>
    <xf numFmtId="0" fontId="8" fillId="0" borderId="0" xfId="0" applyFont="1"/>
    <xf numFmtId="2" fontId="5" fillId="0" borderId="13" xfId="0" applyNumberFormat="1" applyFont="1" applyBorder="1"/>
    <xf numFmtId="0" fontId="0" fillId="0" borderId="0" xfId="0" applyAlignment="1">
      <alignment wrapText="1"/>
    </xf>
    <xf numFmtId="0" fontId="0" fillId="0" borderId="18" xfId="0" applyBorder="1"/>
    <xf numFmtId="0" fontId="0" fillId="0" borderId="19" xfId="0" applyBorder="1"/>
    <xf numFmtId="0" fontId="0" fillId="0" borderId="0" xfId="0" applyAlignment="1">
      <alignment vertical="center"/>
    </xf>
    <xf numFmtId="0" fontId="0" fillId="0" borderId="0" xfId="0" applyAlignment="1">
      <alignment horizontal="center"/>
    </xf>
    <xf numFmtId="0" fontId="0" fillId="0" borderId="20" xfId="0" applyBorder="1"/>
    <xf numFmtId="0" fontId="0" fillId="0" borderId="21" xfId="0" applyBorder="1"/>
    <xf numFmtId="0" fontId="9" fillId="0" borderId="0" xfId="0" applyFont="1"/>
    <xf numFmtId="0" fontId="9" fillId="0" borderId="21" xfId="0" applyFont="1" applyBorder="1"/>
    <xf numFmtId="0" fontId="10" fillId="0" borderId="0" xfId="0" applyFont="1"/>
    <xf numFmtId="14" fontId="0" fillId="0" borderId="0" xfId="0" applyNumberFormat="1"/>
    <xf numFmtId="164" fontId="1" fillId="0" borderId="0" xfId="0" applyNumberFormat="1" applyFont="1" applyAlignment="1">
      <alignment horizontal="center"/>
    </xf>
    <xf numFmtId="0" fontId="1" fillId="0" borderId="0" xfId="0" applyFont="1" applyAlignment="1">
      <alignment horizontal="left" indent="4"/>
    </xf>
    <xf numFmtId="0" fontId="0" fillId="0" borderId="22" xfId="0" applyBorder="1" applyAlignment="1">
      <alignment horizontal="left" vertical="top"/>
    </xf>
    <xf numFmtId="0" fontId="0" fillId="0" borderId="23" xfId="0" applyBorder="1" applyAlignment="1">
      <alignment horizontal="left" vertical="top"/>
    </xf>
    <xf numFmtId="0" fontId="0" fillId="0" borderId="24" xfId="0" applyBorder="1" applyAlignment="1">
      <alignment horizontal="left" vertical="top"/>
    </xf>
    <xf numFmtId="0" fontId="0" fillId="0" borderId="3" xfId="0" applyBorder="1" applyAlignment="1">
      <alignment horizontal="left" vertical="top"/>
    </xf>
    <xf numFmtId="0" fontId="0" fillId="0" borderId="0" xfId="0" applyAlignment="1">
      <alignment horizontal="left" vertical="top"/>
    </xf>
    <xf numFmtId="0" fontId="0" fillId="0" borderId="4" xfId="0" applyBorder="1" applyAlignment="1">
      <alignment horizontal="left" vertical="top"/>
    </xf>
    <xf numFmtId="0" fontId="0" fillId="0" borderId="5" xfId="0" applyBorder="1" applyAlignment="1">
      <alignment horizontal="left" vertical="top"/>
    </xf>
    <xf numFmtId="0" fontId="0" fillId="0" borderId="7" xfId="0" applyBorder="1" applyAlignment="1">
      <alignment horizontal="left" vertical="top"/>
    </xf>
    <xf numFmtId="0" fontId="0" fillId="0" borderId="6" xfId="0" applyBorder="1" applyAlignment="1">
      <alignment horizontal="left" vertical="top"/>
    </xf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0" xfId="0" applyAlignment="1">
      <alignment wrapText="1"/>
    </xf>
    <xf numFmtId="0" fontId="0" fillId="0" borderId="0" xfId="0"/>
    <xf numFmtId="0" fontId="1" fillId="0" borderId="12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0" fillId="0" borderId="0" xfId="0" applyAlignment="1">
      <alignment horizontal="center"/>
    </xf>
    <xf numFmtId="14" fontId="0" fillId="0" borderId="19" xfId="0" applyNumberFormat="1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0" xfId="0" applyBorder="1" applyAlignment="1">
      <alignment horizontal="left" vertical="top"/>
    </xf>
    <xf numFmtId="0" fontId="0" fillId="0" borderId="19" xfId="0" applyBorder="1" applyAlignment="1">
      <alignment horizontal="left" vertical="top"/>
    </xf>
    <xf numFmtId="0" fontId="11" fillId="0" borderId="0" xfId="0" applyFont="1"/>
    <xf numFmtId="0" fontId="0" fillId="0" borderId="0" xfId="0" applyAlignment="1">
      <alignment horizontal="center" vertic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AFEB72-887D-42C0-9B55-D54A6BA84162}">
  <sheetPr codeName="Hoja1"/>
  <dimension ref="A1:I2"/>
  <sheetViews>
    <sheetView windowProtection="1" workbookViewId="0">
      <selection activeCell="H21" sqref="H21"/>
    </sheetView>
  </sheetViews>
  <sheetFormatPr baseColWidth="10" defaultRowHeight="14.4" x14ac:dyDescent="0.3"/>
  <sheetData>
    <row r="1" spans="1:9" x14ac:dyDescent="0.3">
      <c r="A1" t="s">
        <v>46</v>
      </c>
      <c r="B1">
        <v>10</v>
      </c>
      <c r="C1" s="39">
        <v>39642</v>
      </c>
      <c r="I1">
        <v>10</v>
      </c>
    </row>
    <row r="2" spans="1:9" x14ac:dyDescent="0.3">
      <c r="I2" s="39">
        <v>39642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B65DC2-6F75-4D19-841C-04E63AFC63DA}">
  <sheetPr codeName="Hoja6"/>
  <dimension ref="B2:N40"/>
  <sheetViews>
    <sheetView windowProtection="1" topLeftCell="A12" zoomScale="85" zoomScaleNormal="85" workbookViewId="0">
      <selection activeCell="B21" sqref="B21:F35"/>
    </sheetView>
  </sheetViews>
  <sheetFormatPr baseColWidth="10" defaultRowHeight="14.4" x14ac:dyDescent="0.3"/>
  <cols>
    <col min="1" max="1" width="5.33203125" customWidth="1"/>
    <col min="2" max="2" width="7.109375" customWidth="1"/>
    <col min="3" max="3" width="6.33203125" customWidth="1"/>
    <col min="4" max="4" width="14.6640625" customWidth="1"/>
    <col min="5" max="5" width="12" customWidth="1"/>
    <col min="6" max="6" width="29.109375" customWidth="1"/>
  </cols>
  <sheetData>
    <row r="2" spans="2:14" x14ac:dyDescent="0.3">
      <c r="B2" s="54"/>
      <c r="C2" s="54"/>
      <c r="D2" s="54"/>
      <c r="I2" s="54"/>
      <c r="J2" s="54"/>
      <c r="K2" s="54"/>
    </row>
    <row r="3" spans="2:14" x14ac:dyDescent="0.3">
      <c r="B3" t="s">
        <v>14</v>
      </c>
      <c r="F3" s="27"/>
    </row>
    <row r="4" spans="2:14" x14ac:dyDescent="0.3">
      <c r="B4" t="s">
        <v>15</v>
      </c>
    </row>
    <row r="5" spans="2:14" x14ac:dyDescent="0.3">
      <c r="B5" t="s">
        <v>16</v>
      </c>
    </row>
    <row r="6" spans="2:14" x14ac:dyDescent="0.3">
      <c r="B6" t="s">
        <v>17</v>
      </c>
    </row>
    <row r="7" spans="2:14" ht="21" x14ac:dyDescent="0.4">
      <c r="B7" t="s">
        <v>18</v>
      </c>
      <c r="F7" s="22" t="s">
        <v>6</v>
      </c>
    </row>
    <row r="8" spans="2:14" x14ac:dyDescent="0.3">
      <c r="B8" s="27"/>
      <c r="F8" s="23" t="s">
        <v>0</v>
      </c>
      <c r="G8" s="1"/>
      <c r="I8" s="26"/>
      <c r="M8" s="1"/>
      <c r="N8" s="1"/>
    </row>
    <row r="9" spans="2:14" x14ac:dyDescent="0.3">
      <c r="F9" s="24" t="s">
        <v>1</v>
      </c>
      <c r="G9" s="1"/>
      <c r="M9" s="1"/>
      <c r="N9" s="1"/>
    </row>
    <row r="10" spans="2:14" x14ac:dyDescent="0.3">
      <c r="F10" s="24" t="s">
        <v>2</v>
      </c>
      <c r="G10" s="1"/>
      <c r="M10" s="1"/>
      <c r="N10" s="1"/>
    </row>
    <row r="11" spans="2:14" x14ac:dyDescent="0.3">
      <c r="F11" s="24" t="s">
        <v>3</v>
      </c>
      <c r="G11" s="1"/>
      <c r="M11" s="1"/>
      <c r="N11" s="1"/>
    </row>
    <row r="12" spans="2:14" x14ac:dyDescent="0.3">
      <c r="F12" s="25" t="s">
        <v>4</v>
      </c>
      <c r="G12" s="1"/>
      <c r="M12" s="1"/>
      <c r="N12" s="1"/>
    </row>
    <row r="14" spans="2:14" ht="26.4" thickBot="1" x14ac:dyDescent="0.55000000000000004">
      <c r="D14" s="9" t="s">
        <v>12</v>
      </c>
      <c r="E14" s="8"/>
      <c r="K14" s="9"/>
      <c r="L14" s="8"/>
    </row>
    <row r="15" spans="2:14" ht="26.4" thickBot="1" x14ac:dyDescent="0.55000000000000004">
      <c r="B15" s="21" t="s">
        <v>11</v>
      </c>
      <c r="D15" s="9"/>
      <c r="E15" s="20"/>
      <c r="K15" s="9"/>
      <c r="L15" s="8"/>
    </row>
    <row r="16" spans="2:14" ht="15" thickBot="1" x14ac:dyDescent="0.35"/>
    <row r="17" spans="2:13" ht="15" thickBot="1" x14ac:dyDescent="0.35">
      <c r="B17" s="15" t="s">
        <v>13</v>
      </c>
      <c r="C17" s="56"/>
      <c r="D17" s="57"/>
      <c r="E17" s="41" t="s">
        <v>47</v>
      </c>
      <c r="F17" s="40">
        <f>Control!I2</f>
        <v>39642</v>
      </c>
      <c r="I17" s="16"/>
      <c r="J17" s="16"/>
      <c r="K17" s="16"/>
      <c r="M17" s="17"/>
    </row>
    <row r="19" spans="2:13" ht="15" thickBot="1" x14ac:dyDescent="0.35"/>
    <row r="20" spans="2:13" ht="18" x14ac:dyDescent="0.35">
      <c r="B20" s="51" t="s">
        <v>5</v>
      </c>
      <c r="C20" s="52"/>
      <c r="D20" s="52"/>
      <c r="E20" s="52"/>
      <c r="F20" s="53"/>
      <c r="I20" s="55"/>
      <c r="J20" s="55"/>
      <c r="K20" s="55"/>
      <c r="L20" s="55"/>
      <c r="M20" s="55"/>
    </row>
    <row r="21" spans="2:13" x14ac:dyDescent="0.3">
      <c r="B21" s="42"/>
      <c r="C21" s="43"/>
      <c r="D21" s="43"/>
      <c r="E21" s="43"/>
      <c r="F21" s="44"/>
    </row>
    <row r="22" spans="2:13" x14ac:dyDescent="0.3">
      <c r="B22" s="45"/>
      <c r="C22" s="46"/>
      <c r="D22" s="46"/>
      <c r="E22" s="46"/>
      <c r="F22" s="47"/>
    </row>
    <row r="23" spans="2:13" x14ac:dyDescent="0.3">
      <c r="B23" s="45"/>
      <c r="C23" s="46"/>
      <c r="D23" s="46"/>
      <c r="E23" s="46"/>
      <c r="F23" s="47"/>
    </row>
    <row r="24" spans="2:13" x14ac:dyDescent="0.3">
      <c r="B24" s="45"/>
      <c r="C24" s="46"/>
      <c r="D24" s="46"/>
      <c r="E24" s="46"/>
      <c r="F24" s="47"/>
    </row>
    <row r="25" spans="2:13" x14ac:dyDescent="0.3">
      <c r="B25" s="45"/>
      <c r="C25" s="46"/>
      <c r="D25" s="46"/>
      <c r="E25" s="46"/>
      <c r="F25" s="47"/>
    </row>
    <row r="26" spans="2:13" x14ac:dyDescent="0.3">
      <c r="B26" s="45"/>
      <c r="C26" s="46"/>
      <c r="D26" s="46"/>
      <c r="E26" s="46"/>
      <c r="F26" s="47"/>
    </row>
    <row r="27" spans="2:13" x14ac:dyDescent="0.3">
      <c r="B27" s="45"/>
      <c r="C27" s="46"/>
      <c r="D27" s="46"/>
      <c r="E27" s="46"/>
      <c r="F27" s="47"/>
    </row>
    <row r="28" spans="2:13" x14ac:dyDescent="0.3">
      <c r="B28" s="45"/>
      <c r="C28" s="46"/>
      <c r="D28" s="46"/>
      <c r="E28" s="46"/>
      <c r="F28" s="47"/>
    </row>
    <row r="29" spans="2:13" x14ac:dyDescent="0.3">
      <c r="B29" s="45"/>
      <c r="C29" s="46"/>
      <c r="D29" s="46"/>
      <c r="E29" s="46"/>
      <c r="F29" s="47"/>
    </row>
    <row r="30" spans="2:13" x14ac:dyDescent="0.3">
      <c r="B30" s="45"/>
      <c r="C30" s="46"/>
      <c r="D30" s="46"/>
      <c r="E30" s="46"/>
      <c r="F30" s="47"/>
    </row>
    <row r="31" spans="2:13" x14ac:dyDescent="0.3">
      <c r="B31" s="45"/>
      <c r="C31" s="46"/>
      <c r="D31" s="46"/>
      <c r="E31" s="46"/>
      <c r="F31" s="47"/>
    </row>
    <row r="32" spans="2:13" x14ac:dyDescent="0.3">
      <c r="B32" s="45"/>
      <c r="C32" s="46"/>
      <c r="D32" s="46"/>
      <c r="E32" s="46"/>
      <c r="F32" s="47"/>
    </row>
    <row r="33" spans="2:13" x14ac:dyDescent="0.3">
      <c r="B33" s="45"/>
      <c r="C33" s="46"/>
      <c r="D33" s="46"/>
      <c r="E33" s="46"/>
      <c r="F33" s="47"/>
    </row>
    <row r="34" spans="2:13" x14ac:dyDescent="0.3">
      <c r="B34" s="45"/>
      <c r="C34" s="46"/>
      <c r="D34" s="46"/>
      <c r="E34" s="46"/>
      <c r="F34" s="47"/>
    </row>
    <row r="35" spans="2:13" ht="15" thickBot="1" x14ac:dyDescent="0.35">
      <c r="B35" s="48"/>
      <c r="C35" s="49"/>
      <c r="D35" s="49"/>
      <c r="E35" s="49"/>
      <c r="F35" s="50"/>
    </row>
    <row r="37" spans="2:13" ht="15" thickBot="1" x14ac:dyDescent="0.35"/>
    <row r="38" spans="2:13" ht="18" customHeight="1" thickBot="1" x14ac:dyDescent="0.35">
      <c r="B38" s="10" t="s">
        <v>7</v>
      </c>
      <c r="C38" s="11"/>
      <c r="D38" s="11"/>
      <c r="E38" s="11"/>
      <c r="F38" s="14">
        <f>(F40/1.1)</f>
        <v>9.0909090909090899</v>
      </c>
      <c r="G38" t="s">
        <v>10</v>
      </c>
      <c r="M38" s="18"/>
    </row>
    <row r="39" spans="2:13" ht="18" customHeight="1" thickBot="1" x14ac:dyDescent="0.35">
      <c r="B39" s="2" t="s">
        <v>8</v>
      </c>
      <c r="C39" s="12">
        <v>0.1</v>
      </c>
      <c r="F39" s="14">
        <f>F40-F38</f>
        <v>0.90909090909091006</v>
      </c>
      <c r="G39" t="s">
        <v>10</v>
      </c>
      <c r="J39" s="19"/>
      <c r="M39" s="18"/>
    </row>
    <row r="40" spans="2:13" ht="18" customHeight="1" thickBot="1" x14ac:dyDescent="0.4">
      <c r="B40" s="10" t="s">
        <v>9</v>
      </c>
      <c r="C40" s="11"/>
      <c r="D40" s="11"/>
      <c r="E40" s="13"/>
      <c r="F40" s="28">
        <f>Control!I1</f>
        <v>10</v>
      </c>
      <c r="G40" t="s">
        <v>10</v>
      </c>
      <c r="M40" s="18"/>
    </row>
  </sheetData>
  <mergeCells count="6">
    <mergeCell ref="B21:F35"/>
    <mergeCell ref="B20:F20"/>
    <mergeCell ref="B2:D2"/>
    <mergeCell ref="I2:K2"/>
    <mergeCell ref="I20:M20"/>
    <mergeCell ref="C17:D17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0C9B5F-BF0F-4089-8C51-BEEBBD917C6D}">
  <sheetPr codeName="Hoja7"/>
  <dimension ref="A1:H52"/>
  <sheetViews>
    <sheetView windowProtection="1" tabSelected="1" topLeftCell="A18" zoomScale="98" workbookViewId="0">
      <selection activeCell="H22" sqref="H22"/>
    </sheetView>
  </sheetViews>
  <sheetFormatPr baseColWidth="10" defaultRowHeight="14.4" x14ac:dyDescent="0.3"/>
  <cols>
    <col min="1" max="1" width="2.6640625" customWidth="1"/>
    <col min="2" max="2" width="27.33203125" customWidth="1"/>
    <col min="3" max="3" width="13.5546875" customWidth="1"/>
    <col min="5" max="5" width="20" customWidth="1"/>
    <col min="6" max="6" width="2.44140625" customWidth="1"/>
  </cols>
  <sheetData>
    <row r="1" spans="1:8" ht="11.25" customHeight="1" thickBot="1" x14ac:dyDescent="0.35"/>
    <row r="2" spans="1:8" x14ac:dyDescent="0.3">
      <c r="A2" s="2"/>
      <c r="B2" s="37" t="s">
        <v>45</v>
      </c>
      <c r="C2" s="35"/>
      <c r="D2" s="35"/>
      <c r="E2" s="35"/>
      <c r="F2" s="34"/>
    </row>
    <row r="3" spans="1:8" x14ac:dyDescent="0.3">
      <c r="A3" s="3"/>
      <c r="B3" s="36" t="s">
        <v>44</v>
      </c>
      <c r="D3" t="s">
        <v>43</v>
      </c>
      <c r="F3" s="5"/>
    </row>
    <row r="4" spans="1:8" x14ac:dyDescent="0.3">
      <c r="A4" s="3"/>
      <c r="B4" s="36" t="s">
        <v>42</v>
      </c>
      <c r="D4" t="s">
        <v>41</v>
      </c>
      <c r="F4" s="5"/>
    </row>
    <row r="5" spans="1:8" x14ac:dyDescent="0.3">
      <c r="A5" s="3"/>
      <c r="B5" s="36" t="s">
        <v>40</v>
      </c>
      <c r="D5" t="s">
        <v>39</v>
      </c>
      <c r="F5" s="5"/>
    </row>
    <row r="6" spans="1:8" ht="15" thickBot="1" x14ac:dyDescent="0.35">
      <c r="A6" s="4"/>
      <c r="B6" s="6"/>
      <c r="C6" s="6"/>
      <c r="D6" s="6" t="s">
        <v>3</v>
      </c>
      <c r="E6" s="6"/>
      <c r="F6" s="7"/>
    </row>
    <row r="7" spans="1:8" ht="15" thickBot="1" x14ac:dyDescent="0.35"/>
    <row r="8" spans="1:8" x14ac:dyDescent="0.3">
      <c r="A8" s="2"/>
      <c r="B8" s="35"/>
      <c r="C8" s="35"/>
      <c r="D8" s="35"/>
      <c r="E8" s="35"/>
      <c r="F8" s="34"/>
    </row>
    <row r="9" spans="1:8" x14ac:dyDescent="0.3">
      <c r="A9" s="3"/>
      <c r="B9" s="63" t="s">
        <v>48</v>
      </c>
      <c r="F9" s="5"/>
    </row>
    <row r="10" spans="1:8" x14ac:dyDescent="0.3">
      <c r="A10" s="3"/>
      <c r="B10" s="63" t="s">
        <v>49</v>
      </c>
      <c r="F10" s="5"/>
      <c r="H10" s="38"/>
    </row>
    <row r="11" spans="1:8" x14ac:dyDescent="0.3">
      <c r="A11" s="3"/>
      <c r="F11" s="5"/>
    </row>
    <row r="12" spans="1:8" ht="28.8" x14ac:dyDescent="0.3">
      <c r="A12" s="3"/>
      <c r="B12" s="29" t="s">
        <v>38</v>
      </c>
      <c r="C12" s="60"/>
      <c r="D12" s="60"/>
      <c r="E12" s="60"/>
      <c r="F12" s="5"/>
    </row>
    <row r="13" spans="1:8" x14ac:dyDescent="0.3">
      <c r="A13" s="3"/>
      <c r="F13" s="5"/>
    </row>
    <row r="14" spans="1:8" ht="28.8" x14ac:dyDescent="0.3">
      <c r="A14" s="3"/>
      <c r="B14" s="29" t="s">
        <v>37</v>
      </c>
      <c r="C14" s="59">
        <v>39642</v>
      </c>
      <c r="D14" s="60"/>
      <c r="E14" s="60"/>
      <c r="F14" s="5"/>
    </row>
    <row r="15" spans="1:8" x14ac:dyDescent="0.3">
      <c r="A15" s="3"/>
      <c r="F15" s="5"/>
    </row>
    <row r="16" spans="1:8" x14ac:dyDescent="0.3">
      <c r="A16" s="3"/>
      <c r="B16" t="s">
        <v>36</v>
      </c>
      <c r="C16" s="60"/>
      <c r="D16" s="60"/>
      <c r="E16" s="60"/>
      <c r="F16" s="5"/>
    </row>
    <row r="17" spans="1:8" x14ac:dyDescent="0.3">
      <c r="A17" s="3"/>
      <c r="F17" s="5"/>
    </row>
    <row r="18" spans="1:8" x14ac:dyDescent="0.3">
      <c r="A18" s="3"/>
      <c r="B18" t="s">
        <v>35</v>
      </c>
      <c r="C18" s="31"/>
      <c r="D18" s="31"/>
      <c r="E18" s="31"/>
      <c r="F18" s="5"/>
    </row>
    <row r="19" spans="1:8" ht="18.75" customHeight="1" x14ac:dyDescent="0.3">
      <c r="A19" s="3"/>
      <c r="B19" s="61"/>
      <c r="C19" s="61"/>
      <c r="D19" s="61"/>
      <c r="E19" s="61"/>
      <c r="F19" s="5"/>
    </row>
    <row r="20" spans="1:8" ht="18.75" customHeight="1" x14ac:dyDescent="0.3">
      <c r="A20" s="3"/>
      <c r="B20" s="61"/>
      <c r="C20" s="61"/>
      <c r="D20" s="61"/>
      <c r="E20" s="61"/>
      <c r="F20" s="5"/>
    </row>
    <row r="21" spans="1:8" ht="21" customHeight="1" x14ac:dyDescent="0.3">
      <c r="A21" s="3"/>
      <c r="B21" s="61"/>
      <c r="C21" s="61"/>
      <c r="D21" s="61"/>
      <c r="E21" s="61"/>
      <c r="F21" s="5"/>
    </row>
    <row r="22" spans="1:8" ht="21" customHeight="1" x14ac:dyDescent="0.3">
      <c r="A22" s="3"/>
      <c r="B22" s="61"/>
      <c r="C22" s="61"/>
      <c r="D22" s="61"/>
      <c r="E22" s="61"/>
      <c r="F22" s="5"/>
      <c r="H22" s="38"/>
    </row>
    <row r="23" spans="1:8" ht="21" customHeight="1" x14ac:dyDescent="0.3">
      <c r="A23" s="3"/>
      <c r="B23" s="61"/>
      <c r="C23" s="61"/>
      <c r="D23" s="61"/>
      <c r="E23" s="61"/>
      <c r="F23" s="5"/>
    </row>
    <row r="24" spans="1:8" ht="21" customHeight="1" x14ac:dyDescent="0.3">
      <c r="A24" s="3"/>
      <c r="B24" s="62"/>
      <c r="C24" s="62"/>
      <c r="D24" s="62"/>
      <c r="E24" s="62"/>
      <c r="F24" s="5"/>
    </row>
    <row r="25" spans="1:8" x14ac:dyDescent="0.3">
      <c r="A25" s="3"/>
      <c r="F25" s="5"/>
    </row>
    <row r="26" spans="1:8" x14ac:dyDescent="0.3">
      <c r="A26" s="3"/>
      <c r="B26" s="32" t="s">
        <v>34</v>
      </c>
      <c r="C26" s="1"/>
      <c r="D26" t="s">
        <v>32</v>
      </c>
      <c r="F26" s="5"/>
    </row>
    <row r="27" spans="1:8" x14ac:dyDescent="0.3">
      <c r="A27" s="3"/>
      <c r="C27" s="1"/>
      <c r="D27" t="s">
        <v>31</v>
      </c>
      <c r="F27" s="5"/>
    </row>
    <row r="28" spans="1:8" x14ac:dyDescent="0.3">
      <c r="A28" s="3"/>
      <c r="C28" s="1"/>
      <c r="D28" t="s">
        <v>30</v>
      </c>
      <c r="F28" s="5"/>
    </row>
    <row r="29" spans="1:8" x14ac:dyDescent="0.3">
      <c r="A29" s="3"/>
      <c r="C29" s="1"/>
      <c r="D29" t="s">
        <v>26</v>
      </c>
      <c r="F29" s="5"/>
    </row>
    <row r="30" spans="1:8" x14ac:dyDescent="0.3">
      <c r="A30" s="3"/>
      <c r="D30" s="31"/>
      <c r="E30" s="31"/>
      <c r="F30" s="5"/>
    </row>
    <row r="31" spans="1:8" ht="9.75" customHeight="1" x14ac:dyDescent="0.3">
      <c r="A31" s="3"/>
      <c r="F31" s="5"/>
    </row>
    <row r="32" spans="1:8" ht="3.75" customHeight="1" x14ac:dyDescent="0.3">
      <c r="A32" s="3"/>
      <c r="F32" s="5"/>
    </row>
    <row r="33" spans="1:6" x14ac:dyDescent="0.3">
      <c r="A33" s="3"/>
      <c r="B33" t="s">
        <v>33</v>
      </c>
      <c r="C33" s="1"/>
      <c r="D33" t="s">
        <v>32</v>
      </c>
      <c r="F33" s="5"/>
    </row>
    <row r="34" spans="1:6" x14ac:dyDescent="0.3">
      <c r="A34" s="3"/>
      <c r="C34" s="1"/>
      <c r="D34" t="s">
        <v>31</v>
      </c>
      <c r="F34" s="5"/>
    </row>
    <row r="35" spans="1:6" x14ac:dyDescent="0.3">
      <c r="A35" s="3"/>
      <c r="C35" s="1"/>
      <c r="D35" t="s">
        <v>30</v>
      </c>
      <c r="F35" s="5"/>
    </row>
    <row r="36" spans="1:6" x14ac:dyDescent="0.3">
      <c r="A36" s="3"/>
      <c r="C36" s="1"/>
      <c r="D36" t="s">
        <v>29</v>
      </c>
      <c r="F36" s="5"/>
    </row>
    <row r="37" spans="1:6" x14ac:dyDescent="0.3">
      <c r="A37" s="3"/>
      <c r="C37" s="1"/>
      <c r="D37" t="s">
        <v>28</v>
      </c>
      <c r="F37" s="5"/>
    </row>
    <row r="38" spans="1:6" x14ac:dyDescent="0.3">
      <c r="A38" s="3"/>
      <c r="C38" s="1"/>
      <c r="D38" t="s">
        <v>27</v>
      </c>
      <c r="F38" s="5"/>
    </row>
    <row r="39" spans="1:6" x14ac:dyDescent="0.3">
      <c r="A39" s="3"/>
      <c r="C39" s="1"/>
      <c r="D39" t="s">
        <v>26</v>
      </c>
      <c r="F39" s="5"/>
    </row>
    <row r="40" spans="1:6" x14ac:dyDescent="0.3">
      <c r="A40" s="3"/>
      <c r="D40" s="31"/>
      <c r="E40" s="31"/>
      <c r="F40" s="5"/>
    </row>
    <row r="41" spans="1:6" x14ac:dyDescent="0.3">
      <c r="A41" s="3"/>
      <c r="F41" s="5"/>
    </row>
    <row r="42" spans="1:6" x14ac:dyDescent="0.3">
      <c r="A42" s="3"/>
      <c r="C42" s="33" t="s">
        <v>25</v>
      </c>
      <c r="D42" s="33" t="s">
        <v>24</v>
      </c>
      <c r="F42" s="5"/>
    </row>
    <row r="43" spans="1:6" x14ac:dyDescent="0.3">
      <c r="A43" s="3"/>
      <c r="B43" t="s">
        <v>23</v>
      </c>
      <c r="C43" s="64"/>
      <c r="D43" s="64"/>
      <c r="F43" s="5"/>
    </row>
    <row r="44" spans="1:6" x14ac:dyDescent="0.3">
      <c r="A44" s="3"/>
      <c r="F44" s="5"/>
    </row>
    <row r="45" spans="1:6" x14ac:dyDescent="0.3">
      <c r="A45" s="3"/>
      <c r="B45" t="s">
        <v>22</v>
      </c>
      <c r="C45" s="31"/>
      <c r="D45" s="31"/>
      <c r="E45" s="31"/>
      <c r="F45" s="5"/>
    </row>
    <row r="46" spans="1:6" ht="18.75" customHeight="1" x14ac:dyDescent="0.3">
      <c r="A46" s="3"/>
      <c r="B46" s="61"/>
      <c r="C46" s="61"/>
      <c r="D46" s="61"/>
      <c r="E46" s="61"/>
      <c r="F46" s="5"/>
    </row>
    <row r="47" spans="1:6" ht="18.75" customHeight="1" x14ac:dyDescent="0.3">
      <c r="A47" s="3"/>
      <c r="B47" s="62"/>
      <c r="C47" s="62"/>
      <c r="D47" s="62"/>
      <c r="E47" s="62"/>
      <c r="F47" s="5"/>
    </row>
    <row r="48" spans="1:6" ht="10.5" customHeight="1" x14ac:dyDescent="0.3">
      <c r="A48" s="3"/>
      <c r="F48" s="5"/>
    </row>
    <row r="49" spans="1:6" ht="19.5" customHeight="1" x14ac:dyDescent="0.3">
      <c r="A49" s="3"/>
      <c r="C49" s="58" t="s">
        <v>21</v>
      </c>
      <c r="D49" s="58"/>
      <c r="E49" s="31"/>
      <c r="F49" s="5"/>
    </row>
    <row r="50" spans="1:6" ht="19.5" customHeight="1" x14ac:dyDescent="0.3">
      <c r="A50" s="3"/>
      <c r="C50" s="58" t="s">
        <v>20</v>
      </c>
      <c r="D50" s="58"/>
      <c r="E50" s="30"/>
      <c r="F50" s="5"/>
    </row>
    <row r="51" spans="1:6" ht="18" customHeight="1" x14ac:dyDescent="0.3">
      <c r="A51" s="3"/>
      <c r="C51" s="58" t="s">
        <v>19</v>
      </c>
      <c r="D51" s="58"/>
      <c r="E51" s="30">
        <v>10</v>
      </c>
      <c r="F51" s="5"/>
    </row>
    <row r="52" spans="1:6" ht="12" customHeight="1" thickBot="1" x14ac:dyDescent="0.35">
      <c r="A52" s="4"/>
      <c r="B52" s="6"/>
      <c r="C52" s="6"/>
      <c r="D52" s="6"/>
      <c r="E52" s="6"/>
      <c r="F52" s="7"/>
    </row>
  </sheetData>
  <mergeCells count="8">
    <mergeCell ref="C51:D51"/>
    <mergeCell ref="C50:D50"/>
    <mergeCell ref="C49:D49"/>
    <mergeCell ref="C14:E14"/>
    <mergeCell ref="C12:E12"/>
    <mergeCell ref="B19:E24"/>
    <mergeCell ref="C16:E16"/>
    <mergeCell ref="B46:E47"/>
  </mergeCells>
  <printOptions horizontalCentered="1" verticalCentered="1"/>
  <pageMargins left="0.70866141732283472" right="0.70866141732283472" top="0.21" bottom="0.18" header="0.19" footer="0.31496062992125984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1</vt:i4>
      </vt:variant>
    </vt:vector>
  </HeadingPairs>
  <TitlesOfParts>
    <vt:vector size="4" baseType="lpstr">
      <vt:lpstr>Control</vt:lpstr>
      <vt:lpstr>Hoja1</vt:lpstr>
      <vt:lpstr>ticket</vt:lpstr>
      <vt:lpstr>ticket!Área_de_impresión</vt:lpstr>
    </vt:vector>
  </TitlesOfParts>
  <Company>Ership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ERSHIP, S.A.</dc:creator>
  <cp:lastModifiedBy>Esteban del Campo Suárez</cp:lastModifiedBy>
  <cp:lastPrinted>2024-07-10T18:37:02Z</cp:lastPrinted>
  <dcterms:created xsi:type="dcterms:W3CDTF">2013-01-17T10:42:22Z</dcterms:created>
  <dcterms:modified xsi:type="dcterms:W3CDTF">2026-03-16T23:18:06Z</dcterms:modified>
</cp:coreProperties>
</file>